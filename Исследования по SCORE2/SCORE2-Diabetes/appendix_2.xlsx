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sa\Desktop\Work January 2023\SCORE2 Diabetes\to submit\"/>
    </mc:Choice>
  </mc:AlternateContent>
  <bookViews>
    <workbookView xWindow="0" yWindow="0" windowWidth="10200" windowHeight="11265" activeTab="1"/>
  </bookViews>
  <sheets>
    <sheet name="Introduction and country list" sheetId="9" r:id="rId1"/>
    <sheet name="calculator" sheetId="6" r:id="rId2"/>
    <sheet name="values" sheetId="8" state="hidden" r:id="rId3"/>
  </sheets>
  <calcPr calcId="162913"/>
</workbook>
</file>

<file path=xl/calcChain.xml><?xml version="1.0" encoding="utf-8"?>
<calcChain xmlns="http://schemas.openxmlformats.org/spreadsheetml/2006/main">
  <c r="B11" i="8" l="1"/>
  <c r="C11" i="8" s="1"/>
  <c r="B10" i="8"/>
  <c r="C10" i="8" s="1"/>
  <c r="B9" i="8"/>
  <c r="C9" i="8" s="1"/>
  <c r="B8" i="8"/>
  <c r="C8" i="8" s="1"/>
  <c r="B7" i="8"/>
  <c r="C7" i="8" s="1"/>
  <c r="B6" i="8"/>
  <c r="D6" i="8" s="1"/>
  <c r="B5" i="8"/>
  <c r="C5" i="8" s="1"/>
  <c r="B4" i="8"/>
  <c r="C4" i="8" s="1"/>
  <c r="H4" i="8" s="1"/>
  <c r="H8" i="8" l="1"/>
  <c r="H5" i="8"/>
  <c r="D5" i="8"/>
  <c r="D7" i="8"/>
  <c r="H7" i="8"/>
  <c r="H9" i="8"/>
  <c r="D9" i="8"/>
  <c r="H10" i="8"/>
  <c r="D10" i="8"/>
  <c r="H11" i="8"/>
  <c r="D11" i="8"/>
  <c r="D4" i="8"/>
  <c r="D8" i="8"/>
  <c r="C6" i="8"/>
  <c r="H6" i="8" s="1"/>
  <c r="H12" i="8" l="1"/>
  <c r="H13" i="8" s="1"/>
  <c r="H17" i="8" s="1"/>
  <c r="D12" i="8"/>
  <c r="D13" i="8" s="1"/>
  <c r="H14" i="8" l="1"/>
  <c r="H15" i="8"/>
  <c r="H16" i="8"/>
  <c r="D14" i="8"/>
  <c r="B13" i="6" s="1"/>
  <c r="D17" i="8"/>
  <c r="D16" i="8"/>
  <c r="D15" i="8"/>
</calcChain>
</file>

<file path=xl/sharedStrings.xml><?xml version="1.0" encoding="utf-8"?>
<sst xmlns="http://schemas.openxmlformats.org/spreadsheetml/2006/main" count="104" uniqueCount="95">
  <si>
    <t>Men</t>
  </si>
  <si>
    <t>Women</t>
  </si>
  <si>
    <t>Age (yrs)</t>
  </si>
  <si>
    <t>SBP (mm Hg)</t>
  </si>
  <si>
    <t>Diabetes (yes vs. no)</t>
  </si>
  <si>
    <t>Total cholesterol (mmol/L)</t>
  </si>
  <si>
    <t>HDL cholesterol (mmol/L)</t>
  </si>
  <si>
    <t>Diabetes age at diagnosis (yrs)</t>
  </si>
  <si>
    <t>HbA1c (mmol/mol)</t>
  </si>
  <si>
    <t>Ln eGFR (ml/min/1.73m^2)</t>
  </si>
  <si>
    <t>smoking current</t>
  </si>
  <si>
    <t>B men</t>
  </si>
  <si>
    <t>B women</t>
  </si>
  <si>
    <t xml:space="preserve">B fac*age </t>
  </si>
  <si>
    <t>B squared</t>
  </si>
  <si>
    <t>points men</t>
  </si>
  <si>
    <t>points women</t>
  </si>
  <si>
    <t>eGFR (ml/min/1.73m^2)</t>
  </si>
  <si>
    <t>Risk Predictor</t>
  </si>
  <si>
    <t>value</t>
  </si>
  <si>
    <t>centred val</t>
  </si>
  <si>
    <t>LP</t>
  </si>
  <si>
    <t>Risk unclaibrated</t>
  </si>
  <si>
    <t>risk low risk region</t>
  </si>
  <si>
    <t>risk moderate</t>
  </si>
  <si>
    <t>risk high</t>
  </si>
  <si>
    <t>risk very high</t>
  </si>
  <si>
    <t>Sex</t>
  </si>
  <si>
    <t>Risk Region</t>
  </si>
  <si>
    <t>Low risk region</t>
  </si>
  <si>
    <t>Moderate risk region</t>
  </si>
  <si>
    <t>High risk region</t>
  </si>
  <si>
    <t>Very high risk region</t>
  </si>
  <si>
    <t>Value (please enter values below)</t>
  </si>
  <si>
    <t>Current smoker</t>
  </si>
  <si>
    <t xml:space="preserve">10-year CVD risk estimate </t>
  </si>
  <si>
    <t xml:space="preserve">Introduction: SCORE2-Diabetes 10-year CVD risk calculator. </t>
  </si>
  <si>
    <t>Belgium</t>
  </si>
  <si>
    <t>Denmark</t>
  </si>
  <si>
    <t>France</t>
  </si>
  <si>
    <t>Israel</t>
  </si>
  <si>
    <t>Luxembourg</t>
  </si>
  <si>
    <t>Netherlands</t>
  </si>
  <si>
    <t>Norway</t>
  </si>
  <si>
    <t>Spain</t>
  </si>
  <si>
    <t>Switzerland</t>
  </si>
  <si>
    <t>United Kingdom</t>
  </si>
  <si>
    <t>Austria</t>
  </si>
  <si>
    <t>Cyprus</t>
  </si>
  <si>
    <t>Finland</t>
  </si>
  <si>
    <t>Germany</t>
  </si>
  <si>
    <t>Greece</t>
  </si>
  <si>
    <t>Iceland</t>
  </si>
  <si>
    <t>Ireland</t>
  </si>
  <si>
    <t>Italy</t>
  </si>
  <si>
    <t>Malta</t>
  </si>
  <si>
    <t>Portugal</t>
  </si>
  <si>
    <t>San Marino</t>
  </si>
  <si>
    <t>Slovenia</t>
  </si>
  <si>
    <t>Sweden</t>
  </si>
  <si>
    <t>Albania</t>
  </si>
  <si>
    <t>Bosnia and Herzegovina</t>
  </si>
  <si>
    <t>Croatia</t>
  </si>
  <si>
    <t>Czech Republic</t>
  </si>
  <si>
    <t>Estonia</t>
  </si>
  <si>
    <t>Hungary</t>
  </si>
  <si>
    <t>Kazakhstan</t>
  </si>
  <si>
    <t>Poland</t>
  </si>
  <si>
    <t>Slovakia</t>
  </si>
  <si>
    <t>Turkey</t>
  </si>
  <si>
    <t>Algeria</t>
  </si>
  <si>
    <t>Armenia</t>
  </si>
  <si>
    <t>Azerbaijan</t>
  </si>
  <si>
    <t>Belarus</t>
  </si>
  <si>
    <t>Bulgaria</t>
  </si>
  <si>
    <t>Egypt</t>
  </si>
  <si>
    <t>Georgia</t>
  </si>
  <si>
    <t>Kyrgyzstan</t>
  </si>
  <si>
    <t>Latvia</t>
  </si>
  <si>
    <t>Lebanon</t>
  </si>
  <si>
    <t>Libya</t>
  </si>
  <si>
    <t>Lithuania</t>
  </si>
  <si>
    <t>Montenegro</t>
  </si>
  <si>
    <t>Morocco</t>
  </si>
  <si>
    <t>Republic of Moldova</t>
  </si>
  <si>
    <t>Romania</t>
  </si>
  <si>
    <t>Serbia</t>
  </si>
  <si>
    <t>Syria</t>
  </si>
  <si>
    <t>TFYR Macedonia</t>
  </si>
  <si>
    <t>Tunisia</t>
  </si>
  <si>
    <t>Ukraine</t>
  </si>
  <si>
    <t>Uzbekistan</t>
  </si>
  <si>
    <t>10-year risk can be estimated by entering individual values into the calculator sheet. Drop down menus are present for Risk region, sex and smoking status; otherwise numerical values must be entred in the units given for each risk predictor. The relevant risk region for each country of residence can be obtained in the following Table</t>
  </si>
  <si>
    <t>Male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</si>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</sst>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999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0" xfId="0" applyFont="1" applyFill="1"/>
    <xf numFmtId="0" fontId="0" fillId="2" borderId="0" xfId="0" applyFont="1" applyFill="1"/>
    <xf numFmtId="0" fontId="1" fillId="3" borderId="0" xfId="0" applyFont="1" applyFill="1"/>
    <xf numFmtId="0" fontId="0" fillId="3" borderId="0" xfId="0" applyFont="1" applyFill="1"/>
    <xf numFmtId="0" fontId="1" fillId="4" borderId="0" xfId="0" applyFont="1" applyFill="1"/>
    <xf numFmtId="0" fontId="0" fillId="4" borderId="0" xfId="0" applyFont="1" applyFill="1"/>
    <xf numFmtId="0" fontId="1" fillId="5" borderId="0" xfId="0" applyFont="1" applyFill="1"/>
    <xf numFmtId="0" fontId="0" fillId="5" borderId="0" xfId="0" applyFont="1" applyFill="1"/>
    <xf numFmtId="164" fontId="0" fillId="0" borderId="2" xfId="0" applyNumberFormat="1" applyFont="1" applyBorder="1" applyAlignment="1" applyProtection="1">
      <alignment horizontal="center" vertical="center"/>
    </xf>
    <xf numFmtId="164" fontId="4" fillId="0" borderId="4" xfId="0" applyNumberFormat="1" applyFont="1" applyBorder="1" applyAlignment="1" applyProtection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72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selection activeCell="E19" sqref="E19"/>
    </sheetView>
  </sheetViews>
  <sheetFormatPr defaultRowHeight="15" x14ac:dyDescent="0.25"/>
  <cols>
    <col min="1" max="1" width="18.7109375" customWidth="1"/>
    <col min="2" max="2" width="23.5703125" customWidth="1"/>
    <col min="8" max="8" width="13.85546875" customWidth="1"/>
  </cols>
  <sheetData>
    <row r="1" spans="1:8" ht="20.25" customHeight="1" x14ac:dyDescent="0.25">
      <c r="A1" s="25" t="s">
        <v>36</v>
      </c>
      <c r="B1" s="26"/>
      <c r="C1" s="26"/>
      <c r="D1" s="26"/>
      <c r="E1" s="26"/>
      <c r="F1" s="26"/>
      <c r="G1" s="26"/>
      <c r="H1" s="26"/>
    </row>
    <row r="2" spans="1:8" x14ac:dyDescent="0.25">
      <c r="A2" s="26" t="s">
        <v>92</v>
      </c>
      <c r="B2" s="26"/>
      <c r="C2" s="26"/>
      <c r="D2" s="26"/>
      <c r="E2" s="26"/>
      <c r="F2" s="26"/>
      <c r="G2" s="26"/>
      <c r="H2" s="26"/>
    </row>
    <row r="3" spans="1:8" x14ac:dyDescent="0.25">
      <c r="A3" s="26"/>
      <c r="B3" s="26"/>
      <c r="C3" s="26"/>
      <c r="D3" s="26"/>
      <c r="E3" s="26"/>
      <c r="F3" s="26"/>
      <c r="G3" s="26"/>
      <c r="H3" s="26"/>
    </row>
    <row r="4" spans="1:8" x14ac:dyDescent="0.25">
      <c r="A4" s="26"/>
      <c r="B4" s="26"/>
      <c r="C4" s="26"/>
      <c r="D4" s="26"/>
      <c r="E4" s="26"/>
      <c r="F4" s="26"/>
      <c r="G4" s="26"/>
      <c r="H4" s="26"/>
    </row>
    <row r="5" spans="1:8" ht="10.5" customHeight="1" x14ac:dyDescent="0.25">
      <c r="A5" s="26"/>
      <c r="B5" s="26"/>
      <c r="C5" s="26"/>
      <c r="D5" s="26"/>
      <c r="E5" s="26"/>
      <c r="F5" s="26"/>
      <c r="G5" s="26"/>
      <c r="H5" s="26"/>
    </row>
    <row r="6" spans="1:8" hidden="1" x14ac:dyDescent="0.25">
      <c r="A6" s="26"/>
      <c r="B6" s="26"/>
      <c r="C6" s="26"/>
      <c r="D6" s="26"/>
      <c r="E6" s="26"/>
      <c r="F6" s="26"/>
      <c r="G6" s="26"/>
      <c r="H6" s="26"/>
    </row>
    <row r="8" spans="1:8" x14ac:dyDescent="0.25">
      <c r="A8" s="13" t="s">
        <v>29</v>
      </c>
      <c r="B8" s="14" t="s">
        <v>37</v>
      </c>
    </row>
    <row r="9" spans="1:8" x14ac:dyDescent="0.25">
      <c r="A9" s="14"/>
      <c r="B9" s="14" t="s">
        <v>38</v>
      </c>
    </row>
    <row r="10" spans="1:8" x14ac:dyDescent="0.25">
      <c r="A10" s="14"/>
      <c r="B10" s="14" t="s">
        <v>39</v>
      </c>
    </row>
    <row r="11" spans="1:8" x14ac:dyDescent="0.25">
      <c r="A11" s="14"/>
      <c r="B11" s="14" t="s">
        <v>40</v>
      </c>
    </row>
    <row r="12" spans="1:8" x14ac:dyDescent="0.25">
      <c r="A12" s="14"/>
      <c r="B12" s="14" t="s">
        <v>41</v>
      </c>
    </row>
    <row r="13" spans="1:8" x14ac:dyDescent="0.25">
      <c r="A13" s="14"/>
      <c r="B13" s="14" t="s">
        <v>42</v>
      </c>
    </row>
    <row r="14" spans="1:8" x14ac:dyDescent="0.25">
      <c r="A14" s="14"/>
      <c r="B14" s="14" t="s">
        <v>43</v>
      </c>
    </row>
    <row r="15" spans="1:8" x14ac:dyDescent="0.25">
      <c r="A15" s="14"/>
      <c r="B15" s="14" t="s">
        <v>44</v>
      </c>
    </row>
    <row r="16" spans="1:8" x14ac:dyDescent="0.25">
      <c r="A16" s="14"/>
      <c r="B16" s="14" t="s">
        <v>45</v>
      </c>
    </row>
    <row r="17" spans="1:2" x14ac:dyDescent="0.25">
      <c r="A17" s="14"/>
      <c r="B17" s="14" t="s">
        <v>46</v>
      </c>
    </row>
    <row r="18" spans="1:2" x14ac:dyDescent="0.25">
      <c r="A18" s="15" t="s">
        <v>30</v>
      </c>
      <c r="B18" s="16" t="s">
        <v>47</v>
      </c>
    </row>
    <row r="19" spans="1:2" x14ac:dyDescent="0.25">
      <c r="A19" s="16"/>
      <c r="B19" s="16" t="s">
        <v>48</v>
      </c>
    </row>
    <row r="20" spans="1:2" x14ac:dyDescent="0.25">
      <c r="A20" s="16"/>
      <c r="B20" s="16" t="s">
        <v>49</v>
      </c>
    </row>
    <row r="21" spans="1:2" x14ac:dyDescent="0.25">
      <c r="A21" s="16"/>
      <c r="B21" s="16" t="s">
        <v>50</v>
      </c>
    </row>
    <row r="22" spans="1:2" x14ac:dyDescent="0.25">
      <c r="A22" s="16"/>
      <c r="B22" s="16" t="s">
        <v>51</v>
      </c>
    </row>
    <row r="23" spans="1:2" x14ac:dyDescent="0.25">
      <c r="A23" s="16"/>
      <c r="B23" s="16" t="s">
        <v>52</v>
      </c>
    </row>
    <row r="24" spans="1:2" x14ac:dyDescent="0.25">
      <c r="A24" s="16"/>
      <c r="B24" s="16" t="s">
        <v>53</v>
      </c>
    </row>
    <row r="25" spans="1:2" x14ac:dyDescent="0.25">
      <c r="A25" s="16"/>
      <c r="B25" s="16" t="s">
        <v>54</v>
      </c>
    </row>
    <row r="26" spans="1:2" x14ac:dyDescent="0.25">
      <c r="A26" s="16"/>
      <c r="B26" s="16" t="s">
        <v>55</v>
      </c>
    </row>
    <row r="27" spans="1:2" x14ac:dyDescent="0.25">
      <c r="A27" s="16"/>
      <c r="B27" s="16" t="s">
        <v>56</v>
      </c>
    </row>
    <row r="28" spans="1:2" x14ac:dyDescent="0.25">
      <c r="A28" s="16"/>
      <c r="B28" s="16" t="s">
        <v>57</v>
      </c>
    </row>
    <row r="29" spans="1:2" x14ac:dyDescent="0.25">
      <c r="A29" s="16"/>
      <c r="B29" s="16" t="s">
        <v>58</v>
      </c>
    </row>
    <row r="30" spans="1:2" x14ac:dyDescent="0.25">
      <c r="A30" s="16"/>
      <c r="B30" s="16" t="s">
        <v>59</v>
      </c>
    </row>
    <row r="31" spans="1:2" x14ac:dyDescent="0.25">
      <c r="A31" s="17" t="s">
        <v>31</v>
      </c>
      <c r="B31" s="18" t="s">
        <v>60</v>
      </c>
    </row>
    <row r="32" spans="1:2" x14ac:dyDescent="0.25">
      <c r="A32" s="18"/>
      <c r="B32" s="18" t="s">
        <v>61</v>
      </c>
    </row>
    <row r="33" spans="1:2" x14ac:dyDescent="0.25">
      <c r="A33" s="18"/>
      <c r="B33" s="18" t="s">
        <v>62</v>
      </c>
    </row>
    <row r="34" spans="1:2" x14ac:dyDescent="0.25">
      <c r="A34" s="18"/>
      <c r="B34" s="18" t="s">
        <v>63</v>
      </c>
    </row>
    <row r="35" spans="1:2" x14ac:dyDescent="0.25">
      <c r="A35" s="18"/>
      <c r="B35" s="18" t="s">
        <v>64</v>
      </c>
    </row>
    <row r="36" spans="1:2" x14ac:dyDescent="0.25">
      <c r="A36" s="18"/>
      <c r="B36" s="18" t="s">
        <v>65</v>
      </c>
    </row>
    <row r="37" spans="1:2" x14ac:dyDescent="0.25">
      <c r="A37" s="18"/>
      <c r="B37" s="18" t="s">
        <v>66</v>
      </c>
    </row>
    <row r="38" spans="1:2" x14ac:dyDescent="0.25">
      <c r="A38" s="18"/>
      <c r="B38" s="18" t="s">
        <v>67</v>
      </c>
    </row>
    <row r="39" spans="1:2" x14ac:dyDescent="0.25">
      <c r="A39" s="18"/>
      <c r="B39" s="18" t="s">
        <v>68</v>
      </c>
    </row>
    <row r="40" spans="1:2" x14ac:dyDescent="0.25">
      <c r="A40" s="18"/>
      <c r="B40" s="18" t="s">
        <v>69</v>
      </c>
    </row>
    <row r="41" spans="1:2" x14ac:dyDescent="0.25">
      <c r="A41" s="19" t="s">
        <v>32</v>
      </c>
      <c r="B41" s="20" t="s">
        <v>70</v>
      </c>
    </row>
    <row r="42" spans="1:2" x14ac:dyDescent="0.25">
      <c r="A42" s="20"/>
      <c r="B42" s="20" t="s">
        <v>71</v>
      </c>
    </row>
    <row r="43" spans="1:2" x14ac:dyDescent="0.25">
      <c r="A43" s="20"/>
      <c r="B43" s="20" t="s">
        <v>72</v>
      </c>
    </row>
    <row r="44" spans="1:2" x14ac:dyDescent="0.25">
      <c r="A44" s="20"/>
      <c r="B44" s="20" t="s">
        <v>73</v>
      </c>
    </row>
    <row r="45" spans="1:2" x14ac:dyDescent="0.25">
      <c r="A45" s="20"/>
      <c r="B45" s="20" t="s">
        <v>74</v>
      </c>
    </row>
    <row r="46" spans="1:2" x14ac:dyDescent="0.25">
      <c r="A46" s="20"/>
      <c r="B46" s="20" t="s">
        <v>75</v>
      </c>
    </row>
    <row r="47" spans="1:2" x14ac:dyDescent="0.25">
      <c r="A47" s="20"/>
      <c r="B47" s="20" t="s">
        <v>76</v>
      </c>
    </row>
    <row r="48" spans="1:2" x14ac:dyDescent="0.25">
      <c r="A48" s="20"/>
      <c r="B48" s="20" t="s">
        <v>77</v>
      </c>
    </row>
    <row r="49" spans="1:2" x14ac:dyDescent="0.25">
      <c r="A49" s="20"/>
      <c r="B49" s="20" t="s">
        <v>78</v>
      </c>
    </row>
    <row r="50" spans="1:2" x14ac:dyDescent="0.25">
      <c r="A50" s="20"/>
      <c r="B50" s="20" t="s">
        <v>79</v>
      </c>
    </row>
    <row r="51" spans="1:2" x14ac:dyDescent="0.25">
      <c r="A51" s="20"/>
      <c r="B51" s="20" t="s">
        <v>80</v>
      </c>
    </row>
    <row r="52" spans="1:2" x14ac:dyDescent="0.25">
      <c r="A52" s="20"/>
      <c r="B52" s="20" t="s">
        <v>81</v>
      </c>
    </row>
    <row r="53" spans="1:2" x14ac:dyDescent="0.25">
      <c r="A53" s="20"/>
      <c r="B53" s="20" t="s">
        <v>82</v>
      </c>
    </row>
    <row r="54" spans="1:2" x14ac:dyDescent="0.25">
      <c r="A54" s="20"/>
      <c r="B54" s="20" t="s">
        <v>83</v>
      </c>
    </row>
    <row r="55" spans="1:2" x14ac:dyDescent="0.25">
      <c r="A55" s="20"/>
      <c r="B55" s="20" t="s">
        <v>84</v>
      </c>
    </row>
    <row r="56" spans="1:2" x14ac:dyDescent="0.25">
      <c r="A56" s="20"/>
      <c r="B56" s="20" t="s">
        <v>85</v>
      </c>
    </row>
    <row r="57" spans="1:2" x14ac:dyDescent="0.25">
      <c r="A57" s="20"/>
      <c r="B57" s="20" t="s">
        <v>86</v>
      </c>
    </row>
    <row r="58" spans="1:2" x14ac:dyDescent="0.25">
      <c r="A58" s="20"/>
      <c r="B58" s="20" t="s">
        <v>87</v>
      </c>
    </row>
    <row r="59" spans="1:2" x14ac:dyDescent="0.25">
      <c r="A59" s="20"/>
      <c r="B59" s="20" t="s">
        <v>88</v>
      </c>
    </row>
    <row r="60" spans="1:2" x14ac:dyDescent="0.25">
      <c r="A60" s="20"/>
      <c r="B60" s="20" t="s">
        <v>89</v>
      </c>
    </row>
    <row r="61" spans="1:2" x14ac:dyDescent="0.25">
      <c r="A61" s="20"/>
      <c r="B61" s="20" t="s">
        <v>90</v>
      </c>
    </row>
    <row r="62" spans="1:2" x14ac:dyDescent="0.25">
      <c r="A62" s="20"/>
      <c r="B62" s="20" t="s">
        <v>91</v>
      </c>
    </row>
  </sheetData>
  <mergeCells count="2">
    <mergeCell ref="A1:H1"/>
    <mergeCell ref="A2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G11" sqref="G11"/>
    </sheetView>
  </sheetViews>
  <sheetFormatPr defaultRowHeight="15" x14ac:dyDescent="0.25"/>
  <cols>
    <col min="1" max="1" width="35.140625" style="6" customWidth="1"/>
    <col min="2" max="2" width="19.7109375" style="6" customWidth="1"/>
    <col min="3" max="16384" width="9.140625" style="6"/>
  </cols>
  <sheetData>
    <row r="1" spans="1:4" s="7" customFormat="1" ht="36" customHeight="1" x14ac:dyDescent="0.25">
      <c r="A1" s="12" t="s">
        <v>18</v>
      </c>
      <c r="B1" s="12" t="s">
        <v>33</v>
      </c>
    </row>
    <row r="2" spans="1:4" ht="24.75" customHeight="1" x14ac:dyDescent="0.25">
      <c r="A2" s="6" t="s">
        <v>28</v>
      </c>
      <c r="B2" s="6" t="s">
        <v>30</v>
      </c>
    </row>
    <row r="3" spans="1:4" ht="27" customHeight="1" x14ac:dyDescent="0.25">
      <c r="A3" s="6" t="s">
        <v>27</v>
      </c>
      <c r="B3" s="6" t="s">
        <v>93</v>
      </c>
    </row>
    <row r="4" spans="1:4" ht="24" customHeight="1" x14ac:dyDescent="0.25">
      <c r="A4" s="7" t="s">
        <v>2</v>
      </c>
      <c r="B4" s="6">
        <v>53</v>
      </c>
    </row>
    <row r="5" spans="1:4" ht="22.5" customHeight="1" x14ac:dyDescent="0.25">
      <c r="A5" s="7" t="s">
        <v>7</v>
      </c>
      <c r="B5" s="6">
        <v>30</v>
      </c>
    </row>
    <row r="6" spans="1:4" ht="23.25" customHeight="1" x14ac:dyDescent="0.25">
      <c r="A6" s="7" t="s">
        <v>34</v>
      </c>
      <c r="B6" s="6" t="s">
        <v>94</v>
      </c>
    </row>
    <row r="7" spans="1:4" ht="23.25" customHeight="1" x14ac:dyDescent="0.25">
      <c r="A7" s="7" t="s">
        <v>3</v>
      </c>
      <c r="B7" s="6">
        <v>110</v>
      </c>
    </row>
    <row r="8" spans="1:4" ht="24.75" customHeight="1" x14ac:dyDescent="0.25">
      <c r="A8" s="7" t="s">
        <v>5</v>
      </c>
      <c r="B8" s="6">
        <v>4.5</v>
      </c>
    </row>
    <row r="9" spans="1:4" ht="27.75" customHeight="1" x14ac:dyDescent="0.25">
      <c r="A9" s="7" t="s">
        <v>6</v>
      </c>
      <c r="B9" s="6">
        <v>1.4</v>
      </c>
    </row>
    <row r="10" spans="1:4" ht="21" customHeight="1" x14ac:dyDescent="0.25">
      <c r="A10" s="7" t="s">
        <v>8</v>
      </c>
      <c r="B10" s="6">
        <v>55</v>
      </c>
    </row>
    <row r="11" spans="1:4" ht="23.25" customHeight="1" x14ac:dyDescent="0.25">
      <c r="A11" s="7" t="s">
        <v>17</v>
      </c>
      <c r="B11" s="6">
        <v>95</v>
      </c>
    </row>
    <row r="12" spans="1:4" ht="15.75" thickBot="1" x14ac:dyDescent="0.3"/>
    <row r="13" spans="1:4" ht="29.25" customHeight="1" thickBot="1" x14ac:dyDescent="0.3">
      <c r="A13" s="11" t="s">
        <v>35</v>
      </c>
      <c r="B13" s="21">
        <f>IF(AND(B3="Male",B2="Low risk region"),values!D14,IF(AND(B3="Male",B2="Moderate risk region"),values!D15,IF(AND(B3="Male",B2="High risk region"),values!D16,IF(AND(B3="Male",B2="Very high risk region"),values!D17,IF(AND(B3="Female",B2="Low risk region"),values!H14,IF(AND(B3="Female",B2="Moderate risk region"),values!H15,IF(AND(B3="Female",B2="High risk region"),values!H16, values!H17)))))))</f>
        <v>13.116444885691047</v>
      </c>
      <c r="D13" s="23"/>
    </row>
    <row r="14" spans="1:4" ht="25.5" customHeight="1" x14ac:dyDescent="0.25"/>
    <row r="15" spans="1:4" ht="23.25" customHeight="1" x14ac:dyDescent="0.25">
      <c r="B15" s="22"/>
    </row>
    <row r="16" spans="1:4" ht="26.25" customHeight="1" x14ac:dyDescent="0.25"/>
    <row r="17" spans="2:2" x14ac:dyDescent="0.25">
      <c r="B17" s="23"/>
    </row>
  </sheetData>
  <dataConsolidate/>
  <conditionalFormatting sqref="B13:B16">
    <cfRule type="colorScale" priority="1">
      <colorScale>
        <cfvo type="num" val="0"/>
        <cfvo type="num" val="19"/>
        <cfvo type="num" val="20"/>
        <color theme="9" tint="0.59996337778862885"/>
        <color rgb="FFFFEB84"/>
        <color rgb="FFF67275"/>
      </colorScale>
    </cfRule>
  </conditionalFormatting>
  <dataValidations count="10">
    <dataValidation type="list" showInputMessage="1" showErrorMessage="1" sqref="B2">
      <formula1>"Low risk region, Moderate risk region, High risk region, Very high risk region"</formula1>
    </dataValidation>
    <dataValidation type="list" allowBlank="1" showInputMessage="1" showErrorMessage="1" sqref="B3">
      <formula1>"Male, Female"</formula1>
    </dataValidation>
    <dataValidation type="list" allowBlank="1" showInputMessage="1" showErrorMessage="1" sqref="B6">
      <formula1>"yes, no"</formula1>
    </dataValidation>
    <dataValidation type="whole" allowBlank="1" showInputMessage="1" showErrorMessage="1" errorTitle="Invalid value:" error="Please enter a value between the displayed range" promptTitle="Valid values:" prompt="40 to 69 years" sqref="B4">
      <formula1>40</formula1>
      <formula2>69</formula2>
    </dataValidation>
    <dataValidation type="decimal" allowBlank="1" showInputMessage="1" showErrorMessage="1" errorTitle="Invalid value:" error="Please enter a value between the displayed range" promptTitle="Valid values:" prompt="30 years to current age" sqref="B5">
      <formula1>30</formula1>
      <formula2>B4</formula2>
    </dataValidation>
    <dataValidation type="decimal" allowBlank="1" showInputMessage="1" showErrorMessage="1" errorTitle="Invalid value:" error="Please enter a value between the displayed range" promptTitle="Valid values:" prompt="100 to 200 mmHg" sqref="B7">
      <formula1>100</formula1>
      <formula2>200</formula2>
    </dataValidation>
    <dataValidation type="decimal" allowBlank="1" showInputMessage="1" showErrorMessage="1" errorTitle="Invalid value:" error="Please enter a value between the displayed range" promptTitle="Valid values" prompt="3 to 10 mmol/L" sqref="B8">
      <formula1>3</formula1>
      <formula2>10</formula2>
    </dataValidation>
    <dataValidation type="decimal" allowBlank="1" showInputMessage="1" showErrorMessage="1" errorTitle="Invalid value:" error="Please enter a value between the displayed range" promptTitle="Valid values:" prompt="0.5 to 3 mmol/L" sqref="B9">
      <formula1>0.5</formula1>
      <formula2>3</formula2>
    </dataValidation>
    <dataValidation type="decimal" allowBlank="1" showInputMessage="1" showErrorMessage="1" errorTitle="Invalid value:" error="Please enter a value between the displayed range" promptTitle="Valid values:" prompt="1 to 150 mmol/mol" sqref="B10">
      <formula1>1</formula1>
      <formula2>150</formula2>
    </dataValidation>
    <dataValidation type="decimal" allowBlank="1" showInputMessage="1" showErrorMessage="1" errorTitle="Invalid value:" error="Please enter a value between the displayed range" promptTitle="Valid values:" prompt="15 to 120 ml/min/1.73m^2" sqref="B11">
      <formula1>15</formula1>
      <formula2>120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D4" sqref="D4"/>
    </sheetView>
  </sheetViews>
  <sheetFormatPr defaultRowHeight="12.75" x14ac:dyDescent="0.2"/>
  <cols>
    <col min="1" max="1" width="25.28515625" style="2" customWidth="1"/>
    <col min="2" max="3" width="9.140625" style="2"/>
    <col min="4" max="4" width="10.7109375" style="2" customWidth="1"/>
    <col min="5" max="7" width="9.140625" style="2"/>
    <col min="8" max="8" width="12.140625" style="2" customWidth="1"/>
    <col min="9" max="16384" width="9.140625" style="2"/>
  </cols>
  <sheetData>
    <row r="1" spans="1:11" s="1" customFormat="1" ht="25.5" x14ac:dyDescent="0.2">
      <c r="B1" s="5" t="s">
        <v>19</v>
      </c>
      <c r="C1" s="5" t="s">
        <v>20</v>
      </c>
      <c r="D1" s="5" t="s">
        <v>15</v>
      </c>
      <c r="E1" s="27" t="s">
        <v>0</v>
      </c>
      <c r="F1" s="27"/>
      <c r="G1" s="27"/>
      <c r="H1" s="8" t="s">
        <v>16</v>
      </c>
      <c r="I1" s="27" t="s">
        <v>1</v>
      </c>
      <c r="J1" s="27"/>
      <c r="K1" s="27"/>
    </row>
    <row r="2" spans="1:11" x14ac:dyDescent="0.2">
      <c r="B2" s="4"/>
      <c r="C2" s="4"/>
      <c r="D2" s="4"/>
      <c r="E2" s="2" t="s">
        <v>11</v>
      </c>
      <c r="F2" s="2" t="s">
        <v>13</v>
      </c>
      <c r="G2" s="1" t="s">
        <v>14</v>
      </c>
      <c r="H2" s="1"/>
      <c r="I2" s="2" t="s">
        <v>12</v>
      </c>
      <c r="J2" s="2" t="s">
        <v>13</v>
      </c>
      <c r="K2" s="2" t="s">
        <v>14</v>
      </c>
    </row>
    <row r="3" spans="1:11" s="9" customFormat="1" ht="21" customHeight="1" x14ac:dyDescent="0.25">
      <c r="A3" s="3" t="s">
        <v>4</v>
      </c>
      <c r="B3" s="4"/>
      <c r="C3" s="4"/>
      <c r="D3" s="4"/>
      <c r="E3" s="9">
        <v>0.64570000000000005</v>
      </c>
      <c r="F3" s="24">
        <v>-9.8299999999999998E-2</v>
      </c>
      <c r="I3" s="10">
        <v>0.80959999999999999</v>
      </c>
      <c r="J3" s="10">
        <v>-0.12720000000000001</v>
      </c>
    </row>
    <row r="4" spans="1:11" s="9" customFormat="1" ht="21" customHeight="1" x14ac:dyDescent="0.25">
      <c r="A4" s="3" t="s">
        <v>2</v>
      </c>
      <c r="B4" s="4">
        <f>calculator!B4</f>
        <v>53</v>
      </c>
      <c r="C4" s="4">
        <f>(B4-60)/5</f>
        <v>-1.4</v>
      </c>
      <c r="D4" s="4">
        <f>E3+C4*F3+C4*E4</f>
        <v>3.1799999999999939E-2</v>
      </c>
      <c r="E4" s="9">
        <v>0.53680000000000005</v>
      </c>
      <c r="H4" s="4">
        <f>I3+C4*J3+C4*I4</f>
        <v>6.032000000000004E-2</v>
      </c>
      <c r="I4" s="10">
        <v>0.66239999999999999</v>
      </c>
    </row>
    <row r="5" spans="1:11" s="9" customFormat="1" ht="19.5" customHeight="1" x14ac:dyDescent="0.25">
      <c r="A5" s="3" t="s">
        <v>7</v>
      </c>
      <c r="B5" s="4">
        <f>calculator!B5</f>
        <v>30</v>
      </c>
      <c r="C5" s="4">
        <f>(B5-50)/5</f>
        <v>-4</v>
      </c>
      <c r="D5" s="4">
        <f>C5*E5</f>
        <v>0.3992</v>
      </c>
      <c r="E5" s="9">
        <v>-9.98E-2</v>
      </c>
      <c r="F5" s="9">
        <v>0</v>
      </c>
      <c r="H5" s="4">
        <f>C5*I5</f>
        <v>0.47199999999999998</v>
      </c>
      <c r="I5" s="10">
        <v>-0.11799999999999999</v>
      </c>
    </row>
    <row r="6" spans="1:11" s="9" customFormat="1" ht="21" customHeight="1" x14ac:dyDescent="0.25">
      <c r="A6" s="3" t="s">
        <v>10</v>
      </c>
      <c r="B6" s="4" t="str">
        <f>calculator!B6</f>
        <v>yes</v>
      </c>
      <c r="C6" s="4" t="str">
        <f>B6</f>
        <v>yes</v>
      </c>
      <c r="D6" s="4">
        <f>IF(B6="yes", E6+C4*F6, 0)</f>
        <v>0.57147999999999999</v>
      </c>
      <c r="E6" s="9">
        <v>0.47739999999999999</v>
      </c>
      <c r="F6" s="9">
        <v>-6.7199999999999996E-2</v>
      </c>
      <c r="H6" s="4">
        <f>IF(C6="yes", I6+C4*J6, 0)</f>
        <v>0.77098</v>
      </c>
      <c r="I6" s="10">
        <v>0.6139</v>
      </c>
      <c r="J6" s="10">
        <v>-0.11219999999999999</v>
      </c>
    </row>
    <row r="7" spans="1:11" s="9" customFormat="1" ht="21" customHeight="1" x14ac:dyDescent="0.25">
      <c r="A7" s="3" t="s">
        <v>3</v>
      </c>
      <c r="B7" s="4">
        <f>calculator!B7</f>
        <v>110</v>
      </c>
      <c r="C7" s="4">
        <f>(B7-120)/20</f>
        <v>-0.5</v>
      </c>
      <c r="D7" s="4">
        <f>C7*E7+$C$4*C7*F7</f>
        <v>-8.4860000000000005E-2</v>
      </c>
      <c r="E7" s="9">
        <v>0.13220000000000001</v>
      </c>
      <c r="F7" s="9">
        <v>-2.6800000000000001E-2</v>
      </c>
      <c r="H7" s="4">
        <f>C7*I7+$C$4*C7*J7</f>
        <v>-8.2740000000000008E-2</v>
      </c>
      <c r="I7" s="10">
        <v>0.1421</v>
      </c>
      <c r="J7" s="10">
        <v>-1.67E-2</v>
      </c>
    </row>
    <row r="8" spans="1:11" s="9" customFormat="1" ht="27.75" customHeight="1" x14ac:dyDescent="0.25">
      <c r="A8" s="3" t="s">
        <v>5</v>
      </c>
      <c r="B8" s="4">
        <f>calculator!B8</f>
        <v>4.5</v>
      </c>
      <c r="C8" s="4">
        <f>(B8-6)</f>
        <v>-1.5</v>
      </c>
      <c r="D8" s="4">
        <f t="shared" ref="D8:D10" si="0">C8*E8+$C$4*C8*F8</f>
        <v>-0.20330999999999999</v>
      </c>
      <c r="E8" s="9">
        <v>0.11020000000000001</v>
      </c>
      <c r="F8" s="9">
        <v>-1.8100000000000002E-2</v>
      </c>
      <c r="H8" s="4">
        <f t="shared" ref="H8:H10" si="1">C8*I8+$C$4*C8*J8</f>
        <v>-0.21104999999999996</v>
      </c>
      <c r="I8" s="10">
        <v>0.11269999999999999</v>
      </c>
      <c r="J8" s="10">
        <v>-0.02</v>
      </c>
    </row>
    <row r="9" spans="1:11" s="9" customFormat="1" ht="21" customHeight="1" x14ac:dyDescent="0.25">
      <c r="A9" s="3" t="s">
        <v>6</v>
      </c>
      <c r="B9" s="4">
        <f>calculator!B9</f>
        <v>1.4</v>
      </c>
      <c r="C9" s="4">
        <f>(B9-1.3)/0.5</f>
        <v>0.19999999999999973</v>
      </c>
      <c r="D9" s="4">
        <f t="shared" si="0"/>
        <v>-2.4399999999999967E-2</v>
      </c>
      <c r="E9" s="9">
        <v>-0.1087</v>
      </c>
      <c r="F9" s="24">
        <v>9.4999999999999998E-3</v>
      </c>
      <c r="H9" s="4">
        <f t="shared" si="1"/>
        <v>-3.6567999999999948E-2</v>
      </c>
      <c r="I9" s="10">
        <v>-0.15679999999999999</v>
      </c>
      <c r="J9" s="10">
        <v>1.8599999999999998E-2</v>
      </c>
    </row>
    <row r="10" spans="1:11" s="9" customFormat="1" ht="21" customHeight="1" x14ac:dyDescent="0.25">
      <c r="A10" s="3" t="s">
        <v>8</v>
      </c>
      <c r="B10" s="4">
        <f>calculator!B10</f>
        <v>55</v>
      </c>
      <c r="C10" s="4">
        <f>(B10-31)/9.34</f>
        <v>2.5695931477516059</v>
      </c>
      <c r="D10" s="4">
        <f t="shared" si="0"/>
        <v>0.29360171306209848</v>
      </c>
      <c r="E10" s="9">
        <v>9.5500000000000002E-2</v>
      </c>
      <c r="F10" s="9">
        <v>-1.34E-2</v>
      </c>
      <c r="H10" s="4">
        <f t="shared" si="1"/>
        <v>0.37192291220556739</v>
      </c>
      <c r="I10" s="10">
        <v>0.1173</v>
      </c>
      <c r="J10" s="10">
        <v>-1.9599999999999999E-2</v>
      </c>
    </row>
    <row r="11" spans="1:11" s="9" customFormat="1" ht="21" customHeight="1" x14ac:dyDescent="0.25">
      <c r="A11" s="3" t="s">
        <v>9</v>
      </c>
      <c r="B11" s="4">
        <f>calculator!B11</f>
        <v>95</v>
      </c>
      <c r="C11" s="4">
        <f>(LN(B11)-4.5)/0.15</f>
        <v>0.35917927733693844</v>
      </c>
      <c r="D11" s="4">
        <f>C11*E11+C4*C11*F11+C11*C11*G11</f>
        <v>-2.6262025086781715E-2</v>
      </c>
      <c r="E11" s="9">
        <v>-5.91E-2</v>
      </c>
      <c r="F11" s="9">
        <v>1.15E-2</v>
      </c>
      <c r="G11" s="9">
        <v>5.7999999999999996E-3</v>
      </c>
      <c r="H11" s="4">
        <f>C11*I11+C4*C11*J11+C11*C11*K11</f>
        <v>-3.0685794981092654E-2</v>
      </c>
      <c r="I11" s="10">
        <v>-6.4000000000000001E-2</v>
      </c>
      <c r="J11" s="10">
        <v>1.6899999999999998E-2</v>
      </c>
      <c r="K11" s="9">
        <v>6.1999999999999998E-3</v>
      </c>
    </row>
    <row r="12" spans="1:11" x14ac:dyDescent="0.2">
      <c r="A12" s="3" t="s">
        <v>21</v>
      </c>
      <c r="D12" s="2">
        <f>SUM(D4:D11)</f>
        <v>0.95724968797531651</v>
      </c>
      <c r="F12" s="10"/>
      <c r="H12" s="2">
        <f>SUM(H4:H11)</f>
        <v>1.314179117224475</v>
      </c>
    </row>
    <row r="13" spans="1:11" x14ac:dyDescent="0.2">
      <c r="A13" s="3" t="s">
        <v>22</v>
      </c>
      <c r="D13" s="2">
        <f>1-0.9605^EXP(D12)</f>
        <v>9.9644567806468909E-2</v>
      </c>
      <c r="H13" s="2">
        <f>1-0.9776^EXP(H12)</f>
        <v>8.0857253676843044E-2</v>
      </c>
    </row>
    <row r="14" spans="1:11" x14ac:dyDescent="0.2">
      <c r="A14" s="3" t="s">
        <v>23</v>
      </c>
      <c r="D14" s="2">
        <f>100*(1-EXP(-EXP(-0.5699+0.7476*LN(-LN(1-D13)))))</f>
        <v>9.9553916389537811</v>
      </c>
      <c r="H14" s="2">
        <f>100*(1-EXP(-EXP(-0.738+0.7019*LN(-LN(1-H13)))))</f>
        <v>8.0800210342973351</v>
      </c>
    </row>
    <row r="15" spans="1:11" x14ac:dyDescent="0.2">
      <c r="A15" s="3" t="s">
        <v>24</v>
      </c>
      <c r="D15" s="2">
        <f>100*(1-EXP(-EXP(-0.1565+0.8009*LN(-LN(1-D13)))))</f>
        <v>13.116444885691047</v>
      </c>
      <c r="H15" s="2">
        <f>100*(1-EXP(-EXP(-0.3143+0.7701*LN(-LN(1-H13)))))</f>
        <v>10.302441868725165</v>
      </c>
    </row>
    <row r="16" spans="1:11" x14ac:dyDescent="0.2">
      <c r="A16" s="3" t="s">
        <v>25</v>
      </c>
      <c r="D16" s="2">
        <f>100*(1-EXP(-EXP(0.3207+0.936*LN(-LN(1-D13)))))</f>
        <v>15.388566936926818</v>
      </c>
      <c r="H16" s="2">
        <f>100*(1-EXP(-EXP(0.571+0.9369*LN(-LN(1-H13)))))</f>
        <v>16.007637019557475</v>
      </c>
    </row>
    <row r="17" spans="1:8" x14ac:dyDescent="0.2">
      <c r="A17" s="3" t="s">
        <v>26</v>
      </c>
      <c r="D17" s="2">
        <f>100*(1-EXP(-EXP(0.5836+0.8294*LN(-LN(1-D13)))))</f>
        <v>24.147741949388656</v>
      </c>
      <c r="H17" s="2">
        <f>100*(1-EXP(-EXP(0.9412+0.8329*LN(-LN(1-H13)))))</f>
        <v>27.869447538407009</v>
      </c>
    </row>
  </sheetData>
  <mergeCells count="2">
    <mergeCell ref="E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 and country list</vt:lpstr>
      <vt:lpstr>calculator</vt:lpstr>
      <vt:lpstr>values</vt:lpstr>
    </vt:vector>
  </TitlesOfParts>
  <Company>Clinical School Computing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Lisa</cp:lastModifiedBy>
  <dcterms:created xsi:type="dcterms:W3CDTF">2023-01-09T11:24:58Z</dcterms:created>
  <dcterms:modified xsi:type="dcterms:W3CDTF">2023-01-27T12:28:35Z</dcterms:modified>
</cp:coreProperties>
</file>